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filterPrivacy="1" codeName="ThisWorkbook"/>
  <xr:revisionPtr revIDLastSave="0" documentId="13_ncr:1_{BAB73D4A-BF89-48D3-8078-21FB20326780}" xr6:coauthVersionLast="47" xr6:coauthVersionMax="47" xr10:uidLastSave="{00000000-0000-0000-0000-000000000000}"/>
  <bookViews>
    <workbookView xWindow="28680" yWindow="-390" windowWidth="29040" windowHeight="15720" xr2:uid="{00000000-000D-0000-FFFF-FFFF00000000}"/>
  </bookViews>
  <sheets>
    <sheet name="(1)移動限界水深" sheetId="1" r:id="rId1"/>
    <sheet name="(2)漂砂量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0" i="3" l="1"/>
  <c r="E8" i="1" a="1"/>
  <c r="E13" i="3" a="1"/>
  <c r="G20" i="1" a="1"/>
  <c r="E17" i="3" a="1"/>
  <c r="F20" i="1" a="1"/>
  <c r="E20" i="1" a="1"/>
  <c r="H20" i="1" a="1"/>
  <c r="E31" i="1" a="1"/>
  <c r="E23" i="3" a="1"/>
  <c r="F31" i="1" a="1"/>
  <c r="H31" i="1" a="1"/>
  <c r="G31" i="1" a="1"/>
  <c r="E13" i="3" l="1"/>
  <c r="E8" i="1"/>
  <c r="F31" i="1"/>
  <c r="G31" i="1"/>
  <c r="H31" i="1"/>
  <c r="E31" i="1"/>
  <c r="G20" i="1"/>
  <c r="H20" i="1"/>
  <c r="F20" i="1"/>
  <c r="E20" i="1"/>
  <c r="E23" i="3"/>
  <c r="E24" i="3" s="1"/>
  <c r="E17" i="3"/>
  <c r="H32" i="1" a="1"/>
  <c r="G21" i="1" a="1"/>
  <c r="H21" i="1" a="1"/>
  <c r="F32" i="1" a="1"/>
  <c r="E9" i="1" a="1"/>
  <c r="G32" i="1" a="1"/>
  <c r="E32" i="1" a="1"/>
  <c r="F21" i="1" a="1"/>
  <c r="E21" i="1" a="1"/>
  <c r="E9" i="1" l="1"/>
  <c r="E10" i="1" s="1"/>
  <c r="E21" i="1"/>
  <c r="E22" i="1" s="1"/>
  <c r="F21" i="1"/>
  <c r="F22" i="1" s="1"/>
  <c r="E32" i="1"/>
  <c r="E33" i="1" s="1"/>
  <c r="H32" i="1"/>
  <c r="H33" i="1" s="1"/>
  <c r="G32" i="1"/>
  <c r="G33" i="1" s="1"/>
  <c r="F32" i="1"/>
  <c r="F33" i="1" s="1"/>
  <c r="H21" i="1"/>
  <c r="H22" i="1" s="1"/>
  <c r="G21" i="1"/>
  <c r="G22" i="1" s="1"/>
  <c r="E18" i="3"/>
  <c r="E14" i="3"/>
  <c r="E15" i="3" s="1"/>
  <c r="E16" i="3" s="1"/>
  <c r="E19" i="3" a="1"/>
  <c r="E19" i="3" l="1"/>
  <c r="E21" i="3" a="1"/>
  <c r="E21" i="3" l="1"/>
  <c r="E22" i="3" s="1"/>
  <c r="E25" i="3" s="1"/>
  <c r="E26" i="3" a="1"/>
  <c r="E26" i="3" l="1"/>
  <c r="E2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<sst xmlns="http://schemas.openxmlformats.org/spreadsheetml/2006/main" count="226" uniqueCount="123">
  <si>
    <t>沖波波高</t>
    <rPh sb="0" eb="2">
      <t>オキナミ</t>
    </rPh>
    <rPh sb="2" eb="4">
      <t>ハコウ</t>
    </rPh>
    <phoneticPr fontId="5"/>
  </si>
  <si>
    <t>ｍ</t>
    <phoneticPr fontId="5"/>
  </si>
  <si>
    <t>沖波周期</t>
    <rPh sb="0" eb="2">
      <t>オキナミ</t>
    </rPh>
    <rPh sb="2" eb="4">
      <t>シュウキ</t>
    </rPh>
    <phoneticPr fontId="5"/>
  </si>
  <si>
    <t>sec</t>
    <phoneticPr fontId="5"/>
  </si>
  <si>
    <t>底質粒径</t>
    <rPh sb="0" eb="2">
      <t>テイシツ</t>
    </rPh>
    <rPh sb="2" eb="4">
      <t>リュウケイ</t>
    </rPh>
    <phoneticPr fontId="5"/>
  </si>
  <si>
    <t>mm</t>
    <phoneticPr fontId="5"/>
  </si>
  <si>
    <t>icrit</t>
    <phoneticPr fontId="5"/>
  </si>
  <si>
    <t>移動限界水深</t>
    <rPh sb="0" eb="2">
      <t>イドウ</t>
    </rPh>
    <rPh sb="2" eb="4">
      <t>ゲンカイ</t>
    </rPh>
    <rPh sb="4" eb="6">
      <t>スイシン</t>
    </rPh>
    <phoneticPr fontId="5"/>
  </si>
  <si>
    <t>m</t>
    <phoneticPr fontId="5"/>
  </si>
  <si>
    <r>
      <t>H</t>
    </r>
    <r>
      <rPr>
        <vertAlign val="subscript"/>
        <sz val="11"/>
        <color theme="1"/>
        <rFont val="Yu Gothic"/>
        <family val="3"/>
        <charset val="128"/>
        <scheme val="minor"/>
      </rPr>
      <t>0</t>
    </r>
    <phoneticPr fontId="5"/>
  </si>
  <si>
    <t>T</t>
    <phoneticPr fontId="5"/>
  </si>
  <si>
    <t>種類(1,2,3,4)</t>
    <rPh sb="0" eb="2">
      <t>シュルイ</t>
    </rPh>
    <phoneticPr fontId="5"/>
  </si>
  <si>
    <t>mm</t>
    <phoneticPr fontId="4"/>
  </si>
  <si>
    <t>s</t>
    <phoneticPr fontId="4"/>
  </si>
  <si>
    <t>m</t>
    <phoneticPr fontId="4"/>
  </si>
  <si>
    <t>水深</t>
    <rPh sb="0" eb="2">
      <t>スイシン</t>
    </rPh>
    <phoneticPr fontId="4"/>
  </si>
  <si>
    <t>ｈ</t>
    <phoneticPr fontId="4"/>
  </si>
  <si>
    <t>kh</t>
    <phoneticPr fontId="4"/>
  </si>
  <si>
    <t>k</t>
    <phoneticPr fontId="4"/>
  </si>
  <si>
    <t>L</t>
    <phoneticPr fontId="4"/>
  </si>
  <si>
    <t>波長</t>
    <rPh sb="0" eb="2">
      <t>ハチョウ</t>
    </rPh>
    <phoneticPr fontId="4"/>
  </si>
  <si>
    <t>相対水深</t>
    <rPh sb="0" eb="2">
      <t>ソウタイ</t>
    </rPh>
    <rPh sb="2" eb="4">
      <t>スイシン</t>
    </rPh>
    <phoneticPr fontId="4"/>
  </si>
  <si>
    <t>波数</t>
    <rPh sb="0" eb="2">
      <t>ハスウ</t>
    </rPh>
    <phoneticPr fontId="4"/>
  </si>
  <si>
    <t>1/m</t>
    <phoneticPr fontId="4"/>
  </si>
  <si>
    <t>浅水係数</t>
    <rPh sb="0" eb="2">
      <t>センスイ</t>
    </rPh>
    <rPh sb="2" eb="4">
      <t>ケイスウ</t>
    </rPh>
    <phoneticPr fontId="4"/>
  </si>
  <si>
    <t>Ks</t>
    <phoneticPr fontId="4"/>
  </si>
  <si>
    <t>波高</t>
    <rPh sb="0" eb="2">
      <t>ハコウ</t>
    </rPh>
    <phoneticPr fontId="4"/>
  </si>
  <si>
    <t>H</t>
    <phoneticPr fontId="4"/>
  </si>
  <si>
    <t>m/s</t>
    <phoneticPr fontId="4"/>
  </si>
  <si>
    <t>単位</t>
    <rPh sb="0" eb="2">
      <t>タンイ</t>
    </rPh>
    <phoneticPr fontId="4"/>
  </si>
  <si>
    <t>底面流速振幅</t>
    <rPh sb="0" eb="2">
      <t>テイメン</t>
    </rPh>
    <rPh sb="2" eb="4">
      <t>リュウソク</t>
    </rPh>
    <rPh sb="4" eb="6">
      <t>シンプク</t>
    </rPh>
    <phoneticPr fontId="4"/>
  </si>
  <si>
    <t>底面摩擦係数</t>
    <rPh sb="0" eb="2">
      <t>テイメン</t>
    </rPh>
    <rPh sb="2" eb="4">
      <t>マサツ</t>
    </rPh>
    <rPh sb="4" eb="6">
      <t>ケイスウ</t>
    </rPh>
    <phoneticPr fontId="4"/>
  </si>
  <si>
    <t>底面せん断力</t>
    <rPh sb="0" eb="2">
      <t>テイメン</t>
    </rPh>
    <rPh sb="4" eb="5">
      <t>ダン</t>
    </rPh>
    <rPh sb="5" eb="6">
      <t>リョク</t>
    </rPh>
    <phoneticPr fontId="4"/>
  </si>
  <si>
    <t>τ</t>
    <phoneticPr fontId="4"/>
  </si>
  <si>
    <t>限界シールズ数</t>
    <rPh sb="0" eb="2">
      <t>ゲンカイ</t>
    </rPh>
    <rPh sb="6" eb="7">
      <t>スウ</t>
    </rPh>
    <phoneticPr fontId="4"/>
  </si>
  <si>
    <t>底質密度</t>
    <rPh sb="0" eb="2">
      <t>テイシツ</t>
    </rPh>
    <rPh sb="2" eb="4">
      <t>ミツド</t>
    </rPh>
    <phoneticPr fontId="4"/>
  </si>
  <si>
    <t>海水密度</t>
    <rPh sb="0" eb="2">
      <t>カイスイ</t>
    </rPh>
    <rPh sb="2" eb="4">
      <t>ミツド</t>
    </rPh>
    <phoneticPr fontId="4"/>
  </si>
  <si>
    <t>rho_s</t>
    <phoneticPr fontId="4"/>
  </si>
  <si>
    <t>限界せん断力</t>
    <rPh sb="0" eb="2">
      <t>ゲンカイ</t>
    </rPh>
    <rPh sb="4" eb="6">
      <t>ダンリョク</t>
    </rPh>
    <phoneticPr fontId="4"/>
  </si>
  <si>
    <t>波による漂砂量係数</t>
    <rPh sb="0" eb="1">
      <t>ナミ</t>
    </rPh>
    <rPh sb="4" eb="7">
      <t>ヒョウサリョウ</t>
    </rPh>
    <rPh sb="7" eb="9">
      <t>ケイスウ</t>
    </rPh>
    <phoneticPr fontId="4"/>
  </si>
  <si>
    <t>波による漂砂量</t>
    <rPh sb="0" eb="1">
      <t>ナミ</t>
    </rPh>
    <rPh sb="4" eb="7">
      <t>ヒョウサリョウ</t>
    </rPh>
    <phoneticPr fontId="4"/>
  </si>
  <si>
    <t>相当粗度</t>
    <rPh sb="0" eb="2">
      <t>ソウトウ</t>
    </rPh>
    <rPh sb="2" eb="4">
      <t>ソド</t>
    </rPh>
    <phoneticPr fontId="4"/>
  </si>
  <si>
    <t>項目</t>
    <rPh sb="0" eb="2">
      <t>コウモク</t>
    </rPh>
    <phoneticPr fontId="4"/>
  </si>
  <si>
    <t>記号</t>
    <rPh sb="0" eb="2">
      <t>キゴウ</t>
    </rPh>
    <phoneticPr fontId="4"/>
  </si>
  <si>
    <t>入力値</t>
    <rPh sb="0" eb="2">
      <t>ニュウリョク</t>
    </rPh>
    <rPh sb="2" eb="3">
      <t>チ</t>
    </rPh>
    <phoneticPr fontId="4"/>
  </si>
  <si>
    <t>初期移動</t>
    <rPh sb="0" eb="4">
      <t>ショキイドウ</t>
    </rPh>
    <phoneticPr fontId="4"/>
  </si>
  <si>
    <t>全面移動</t>
    <rPh sb="0" eb="2">
      <t>ゼンメン</t>
    </rPh>
    <rPh sb="2" eb="4">
      <t>イドウ</t>
    </rPh>
    <phoneticPr fontId="4"/>
  </si>
  <si>
    <t>表層移動</t>
    <rPh sb="0" eb="2">
      <t>ヒョウソウ</t>
    </rPh>
    <rPh sb="2" eb="4">
      <t>イドウ</t>
    </rPh>
    <phoneticPr fontId="4"/>
  </si>
  <si>
    <t>完全移動</t>
    <rPh sb="0" eb="2">
      <t>カンゼン</t>
    </rPh>
    <rPh sb="2" eb="4">
      <t>イドウ</t>
    </rPh>
    <phoneticPr fontId="4"/>
  </si>
  <si>
    <t>水深波長比</t>
    <rPh sb="0" eb="2">
      <t>スイシン</t>
    </rPh>
    <rPh sb="2" eb="5">
      <t>ハチョウヒ</t>
    </rPh>
    <phoneticPr fontId="4"/>
  </si>
  <si>
    <t>h/L</t>
    <phoneticPr fontId="4"/>
  </si>
  <si>
    <t>シールズ数</t>
    <rPh sb="4" eb="5">
      <t>スウ</t>
    </rPh>
    <phoneticPr fontId="4"/>
  </si>
  <si>
    <t>θ</t>
    <phoneticPr fontId="4"/>
  </si>
  <si>
    <t>漂砂方向関数</t>
    <rPh sb="0" eb="2">
      <t>ヒョウサ</t>
    </rPh>
    <rPh sb="2" eb="4">
      <t>ホウコウ</t>
    </rPh>
    <rPh sb="4" eb="6">
      <t>カンスウ</t>
    </rPh>
    <phoneticPr fontId="4"/>
  </si>
  <si>
    <t>：エクセルの機能での計算</t>
  </si>
  <si>
    <t>：VBAマクロの関数による計算</t>
  </si>
  <si>
    <t>入力セル</t>
    <phoneticPr fontId="4"/>
  </si>
  <si>
    <t>計算セル</t>
    <phoneticPr fontId="4"/>
  </si>
  <si>
    <t>出力セル</t>
    <phoneticPr fontId="4"/>
  </si>
  <si>
    <t>：条件の数値を入力する．</t>
    <rPh sb="4" eb="6">
      <t>スウチ</t>
    </rPh>
    <phoneticPr fontId="4"/>
  </si>
  <si>
    <t>d</t>
    <phoneticPr fontId="5"/>
  </si>
  <si>
    <t>【例題5.18（１）】</t>
    <rPh sb="1" eb="3">
      <t>レイダイ</t>
    </rPh>
    <phoneticPr fontId="4"/>
  </si>
  <si>
    <r>
      <t>Ks=H/H</t>
    </r>
    <r>
      <rPr>
        <vertAlign val="subscript"/>
        <sz val="11"/>
        <color theme="1"/>
        <rFont val="Yu Gothic"/>
        <family val="3"/>
        <charset val="128"/>
        <scheme val="minor"/>
      </rPr>
      <t>0</t>
    </r>
    <phoneticPr fontId="4"/>
  </si>
  <si>
    <t>-</t>
    <phoneticPr fontId="4"/>
  </si>
  <si>
    <t>ｍ</t>
    <phoneticPr fontId="4"/>
  </si>
  <si>
    <t>値</t>
    <rPh sb="0" eb="1">
      <t>アタイ</t>
    </rPh>
    <phoneticPr fontId="4"/>
  </si>
  <si>
    <t>式(5.18.1)</t>
    <rPh sb="0" eb="1">
      <t>シキ</t>
    </rPh>
    <phoneticPr fontId="4"/>
  </si>
  <si>
    <r>
      <t>h</t>
    </r>
    <r>
      <rPr>
        <vertAlign val="subscript"/>
        <sz val="11"/>
        <color theme="1"/>
        <rFont val="Yu Gothic"/>
        <family val="3"/>
        <charset val="128"/>
        <scheme val="minor"/>
      </rPr>
      <t>i</t>
    </r>
    <phoneticPr fontId="5"/>
  </si>
  <si>
    <t>idogenkai_hcr</t>
    <phoneticPr fontId="4"/>
  </si>
  <si>
    <t>Ks_calc</t>
    <phoneticPr fontId="4"/>
  </si>
  <si>
    <t>引数</t>
    <rPh sb="0" eb="2">
      <t>ヒキスウ</t>
    </rPh>
    <phoneticPr fontId="4"/>
  </si>
  <si>
    <t>VBA関数名</t>
    <rPh sb="3" eb="5">
      <t>カンスウ</t>
    </rPh>
    <rPh sb="5" eb="6">
      <t>メイ</t>
    </rPh>
    <phoneticPr fontId="4"/>
  </si>
  <si>
    <t>(H0, T, d, icrit)</t>
    <phoneticPr fontId="4"/>
  </si>
  <si>
    <t>(hi, T)</t>
    <phoneticPr fontId="4"/>
  </si>
  <si>
    <t>算定項目</t>
    <rPh sb="0" eb="2">
      <t>サンテイ</t>
    </rPh>
    <rPh sb="2" eb="4">
      <t>コウモク</t>
    </rPh>
    <phoneticPr fontId="4"/>
  </si>
  <si>
    <t>移動限界水深</t>
    <rPh sb="0" eb="4">
      <t>イドウゲンカイ</t>
    </rPh>
    <rPh sb="4" eb="6">
      <t>スイシン</t>
    </rPh>
    <phoneticPr fontId="4"/>
  </si>
  <si>
    <t>浅水係数</t>
    <rPh sb="0" eb="4">
      <t>センスイケイスウ</t>
    </rPh>
    <phoneticPr fontId="4"/>
  </si>
  <si>
    <t>【使用方法】左の表中のオレンジのセルに値を入力することで、計算セルと出力セルの値が変化します。</t>
    <rPh sb="1" eb="5">
      <t>シヨウホウホウ</t>
    </rPh>
    <rPh sb="6" eb="7">
      <t>ヒダリ</t>
    </rPh>
    <rPh sb="8" eb="9">
      <t>ヒョウ</t>
    </rPh>
    <rPh sb="9" eb="10">
      <t>チュウ</t>
    </rPh>
    <rPh sb="19" eb="20">
      <t>アタイ</t>
    </rPh>
    <rPh sb="21" eb="23">
      <t>ニュウリョク</t>
    </rPh>
    <rPh sb="29" eb="31">
      <t>ケイサン</t>
    </rPh>
    <rPh sb="34" eb="36">
      <t>シュツリョク</t>
    </rPh>
    <rPh sb="39" eb="40">
      <t>アタイ</t>
    </rPh>
    <rPh sb="41" eb="43">
      <t>ヘンカ</t>
    </rPh>
    <phoneticPr fontId="4"/>
  </si>
  <si>
    <t>←移動限界水深の種類(1=初期移動限界，2=全面移動限界，3=表層移動限界，4=完全移動限界）</t>
    <rPh sb="1" eb="3">
      <t>イドウ</t>
    </rPh>
    <rPh sb="3" eb="5">
      <t>ゲンカイ</t>
    </rPh>
    <rPh sb="5" eb="7">
      <t>スイシン</t>
    </rPh>
    <rPh sb="8" eb="10">
      <t>シュルイ</t>
    </rPh>
    <rPh sb="13" eb="17">
      <t>ショキイドウ</t>
    </rPh>
    <rPh sb="17" eb="19">
      <t>ゲンカイ</t>
    </rPh>
    <rPh sb="31" eb="33">
      <t>ヒョウソウ</t>
    </rPh>
    <rPh sb="33" eb="35">
      <t>イドウ</t>
    </rPh>
    <rPh sb="35" eb="37">
      <t>ゲンカイ</t>
    </rPh>
    <rPh sb="40" eb="42">
      <t>カンゼン</t>
    </rPh>
    <rPh sb="42" eb="44">
      <t>イドウ</t>
    </rPh>
    <rPh sb="44" eb="46">
      <t>ゲンカイ</t>
    </rPh>
    <phoneticPr fontId="5"/>
  </si>
  <si>
    <r>
      <t>m</t>
    </r>
    <r>
      <rPr>
        <vertAlign val="superscript"/>
        <sz val="11"/>
        <color theme="1"/>
        <rFont val="Yu Gothic"/>
        <family val="3"/>
        <charset val="128"/>
        <scheme val="minor"/>
      </rPr>
      <t>2</t>
    </r>
    <r>
      <rPr>
        <sz val="11"/>
        <color theme="1"/>
        <rFont val="Yu Gothic"/>
        <family val="2"/>
        <scheme val="minor"/>
      </rPr>
      <t>/s</t>
    </r>
    <phoneticPr fontId="4"/>
  </si>
  <si>
    <r>
      <t>N/m</t>
    </r>
    <r>
      <rPr>
        <vertAlign val="superscript"/>
        <sz val="11"/>
        <color theme="1"/>
        <rFont val="Yu Gothic"/>
        <family val="3"/>
        <charset val="128"/>
        <scheme val="minor"/>
      </rPr>
      <t>2</t>
    </r>
    <phoneticPr fontId="4"/>
  </si>
  <si>
    <r>
      <t>kg/m</t>
    </r>
    <r>
      <rPr>
        <vertAlign val="superscript"/>
        <sz val="11"/>
        <color theme="1"/>
        <rFont val="Yu Gothic"/>
        <family val="3"/>
        <charset val="128"/>
        <scheme val="minor"/>
      </rPr>
      <t>3</t>
    </r>
    <phoneticPr fontId="4"/>
  </si>
  <si>
    <r>
      <t>d</t>
    </r>
    <r>
      <rPr>
        <vertAlign val="subscript"/>
        <sz val="11"/>
        <color theme="1"/>
        <rFont val="Yu Gothic"/>
        <family val="3"/>
        <charset val="128"/>
        <scheme val="minor"/>
      </rPr>
      <t>50</t>
    </r>
    <phoneticPr fontId="5"/>
  </si>
  <si>
    <r>
      <t>F</t>
    </r>
    <r>
      <rPr>
        <vertAlign val="subscript"/>
        <sz val="11"/>
        <color theme="1"/>
        <rFont val="Yu Gothic"/>
        <family val="3"/>
        <charset val="128"/>
        <scheme val="minor"/>
      </rPr>
      <t>D</t>
    </r>
    <phoneticPr fontId="4"/>
  </si>
  <si>
    <r>
      <t>Q</t>
    </r>
    <r>
      <rPr>
        <vertAlign val="subscript"/>
        <sz val="11"/>
        <color theme="1"/>
        <rFont val="Yu Gothic"/>
        <family val="3"/>
        <charset val="128"/>
        <scheme val="minor"/>
      </rPr>
      <t>w</t>
    </r>
    <phoneticPr fontId="4"/>
  </si>
  <si>
    <r>
      <t>u</t>
    </r>
    <r>
      <rPr>
        <vertAlign val="subscript"/>
        <sz val="11"/>
        <color theme="1"/>
        <rFont val="Yu Gothic"/>
        <family val="3"/>
        <charset val="128"/>
        <scheme val="minor"/>
      </rPr>
      <t>b</t>
    </r>
    <phoneticPr fontId="4"/>
  </si>
  <si>
    <r>
      <t>k</t>
    </r>
    <r>
      <rPr>
        <vertAlign val="subscript"/>
        <sz val="11"/>
        <color theme="1"/>
        <rFont val="Yu Gothic"/>
        <family val="3"/>
        <charset val="128"/>
        <scheme val="minor"/>
      </rPr>
      <t>s</t>
    </r>
    <phoneticPr fontId="4"/>
  </si>
  <si>
    <r>
      <t>f</t>
    </r>
    <r>
      <rPr>
        <vertAlign val="subscript"/>
        <sz val="11"/>
        <color theme="1"/>
        <rFont val="Yu Gothic"/>
        <family val="3"/>
        <charset val="128"/>
        <scheme val="minor"/>
      </rPr>
      <t>w</t>
    </r>
    <phoneticPr fontId="4"/>
  </si>
  <si>
    <r>
      <t>θ</t>
    </r>
    <r>
      <rPr>
        <vertAlign val="subscript"/>
        <sz val="11"/>
        <color theme="1"/>
        <rFont val="Yu Gothic"/>
        <family val="3"/>
        <charset val="128"/>
        <scheme val="minor"/>
      </rPr>
      <t>c</t>
    </r>
    <phoneticPr fontId="4"/>
  </si>
  <si>
    <r>
      <t>τ</t>
    </r>
    <r>
      <rPr>
        <vertAlign val="subscript"/>
        <sz val="11"/>
        <color theme="1"/>
        <rFont val="Yu Gothic"/>
        <family val="3"/>
        <charset val="128"/>
        <scheme val="minor"/>
      </rPr>
      <t>c</t>
    </r>
    <phoneticPr fontId="4"/>
  </si>
  <si>
    <r>
      <t>A</t>
    </r>
    <r>
      <rPr>
        <vertAlign val="subscript"/>
        <sz val="11"/>
        <color theme="1"/>
        <rFont val="Yu Gothic"/>
        <family val="3"/>
        <charset val="128"/>
        <scheme val="minor"/>
      </rPr>
      <t>w</t>
    </r>
    <phoneticPr fontId="4"/>
  </si>
  <si>
    <t>rho</t>
    <phoneticPr fontId="4"/>
  </si>
  <si>
    <t>式(5.18.2)</t>
    <rPh sb="0" eb="1">
      <t>シキ</t>
    </rPh>
    <phoneticPr fontId="4"/>
  </si>
  <si>
    <t>式(5.18.3)</t>
    <rPh sb="0" eb="1">
      <t>シキ</t>
    </rPh>
    <phoneticPr fontId="4"/>
  </si>
  <si>
    <t>式(5.18.5)</t>
    <rPh sb="0" eb="1">
      <t>シキ</t>
    </rPh>
    <phoneticPr fontId="4"/>
  </si>
  <si>
    <t>式(5.18.6)</t>
    <rPh sb="0" eb="1">
      <t>シキ</t>
    </rPh>
    <phoneticPr fontId="4"/>
  </si>
  <si>
    <t>このシートでは、漂砂量算定に関連する以下の項目を算定するVBA関数が使用されている。</t>
    <rPh sb="8" eb="10">
      <t>ヒョウサ</t>
    </rPh>
    <rPh sb="10" eb="11">
      <t>リョウ</t>
    </rPh>
    <rPh sb="11" eb="13">
      <t>サンテイ</t>
    </rPh>
    <rPh sb="14" eb="16">
      <t>カンレン</t>
    </rPh>
    <rPh sb="18" eb="20">
      <t>イカ</t>
    </rPh>
    <rPh sb="21" eb="23">
      <t>コウモク</t>
    </rPh>
    <rPh sb="24" eb="26">
      <t>サンテイ</t>
    </rPh>
    <rPh sb="31" eb="33">
      <t>カンスウ</t>
    </rPh>
    <rPh sb="34" eb="36">
      <t>シヨウ</t>
    </rPh>
    <phoneticPr fontId="4"/>
  </si>
  <si>
    <t>kh_calc</t>
    <phoneticPr fontId="4"/>
  </si>
  <si>
    <t>底面流速振幅</t>
    <rPh sb="0" eb="6">
      <t>テイメンリュウソクシンプク</t>
    </rPh>
    <phoneticPr fontId="4"/>
  </si>
  <si>
    <t>ub_calc</t>
    <phoneticPr fontId="4"/>
  </si>
  <si>
    <t>底面摩擦係数</t>
    <rPh sb="0" eb="2">
      <t>テイメン</t>
    </rPh>
    <rPh sb="2" eb="6">
      <t>マサツケイスウ</t>
    </rPh>
    <phoneticPr fontId="4"/>
  </si>
  <si>
    <t>fw_calc_Swart</t>
    <phoneticPr fontId="4"/>
  </si>
  <si>
    <t>Shields_cr_Soulsby</t>
    <phoneticPr fontId="4"/>
  </si>
  <si>
    <t>漂砂方向関数</t>
    <rPh sb="0" eb="2">
      <t>ヒョウサ</t>
    </rPh>
    <rPh sb="2" eb="6">
      <t>ホウコウカンスウ</t>
    </rPh>
    <phoneticPr fontId="4"/>
  </si>
  <si>
    <t>FD_Shimizu</t>
    <phoneticPr fontId="4"/>
  </si>
  <si>
    <t>(h, T)</t>
    <phoneticPr fontId="4"/>
  </si>
  <si>
    <t>(H, T, h)</t>
    <phoneticPr fontId="4"/>
  </si>
  <si>
    <t>(ub, T, ks)</t>
    <phoneticPr fontId="4"/>
  </si>
  <si>
    <t>(d50, rho_s, rho)</t>
    <phoneticPr fontId="4"/>
  </si>
  <si>
    <t>(θ)</t>
    <phoneticPr fontId="4"/>
  </si>
  <si>
    <t>粒径が0.2mmの場合</t>
    <rPh sb="0" eb="2">
      <t>リュウケイ</t>
    </rPh>
    <rPh sb="9" eb="11">
      <t>バアイ</t>
    </rPh>
    <phoneticPr fontId="4"/>
  </si>
  <si>
    <t>粒径が1.0mmの場合</t>
    <rPh sb="0" eb="2">
      <t>リュウケイ</t>
    </rPh>
    <rPh sb="9" eb="11">
      <t>バアイ</t>
    </rPh>
    <phoneticPr fontId="4"/>
  </si>
  <si>
    <t>【例題5.18（２）】波による漂砂量の計算</t>
    <rPh sb="1" eb="3">
      <t>レイダイ</t>
    </rPh>
    <rPh sb="11" eb="12">
      <t>ナミ</t>
    </rPh>
    <rPh sb="15" eb="18">
      <t>ヒョウサリョウ</t>
    </rPh>
    <rPh sb="19" eb="21">
      <t>ケイサン</t>
    </rPh>
    <phoneticPr fontId="4"/>
  </si>
  <si>
    <t>このシートでは、移動限界水深と浅水係数を算定するVBA関数が使用されています。</t>
    <rPh sb="8" eb="12">
      <t>イドウゲンカイ</t>
    </rPh>
    <rPh sb="12" eb="14">
      <t>スイシン</t>
    </rPh>
    <rPh sb="15" eb="19">
      <t>センスイケイスウ</t>
    </rPh>
    <rPh sb="20" eb="22">
      <t>サンテイ</t>
    </rPh>
    <rPh sb="27" eb="29">
      <t>カンスウ</t>
    </rPh>
    <rPh sb="30" eb="32">
      <t>シヨウ</t>
    </rPh>
    <phoneticPr fontId="4"/>
  </si>
  <si>
    <t>【移動限界水深の算定】</t>
    <rPh sb="1" eb="3">
      <t>イドウ</t>
    </rPh>
    <rPh sb="3" eb="5">
      <t>ゲンカイ</t>
    </rPh>
    <rPh sb="5" eb="7">
      <t>スイシン</t>
    </rPh>
    <rPh sb="8" eb="10">
      <t>サンテイ</t>
    </rPh>
    <phoneticPr fontId="4"/>
  </si>
  <si>
    <t>【解説】</t>
    <rPh sb="1" eb="3">
      <t>カイセツ</t>
    </rPh>
    <phoneticPr fontId="4"/>
  </si>
  <si>
    <t>・VBA関数は、Excelの組み込み関数と同じように使用することができます。</t>
    <rPh sb="4" eb="6">
      <t>カンスウ</t>
    </rPh>
    <rPh sb="14" eb="15">
      <t>ク</t>
    </rPh>
    <rPh sb="16" eb="17">
      <t>コ</t>
    </rPh>
    <rPh sb="18" eb="20">
      <t>カンスウ</t>
    </rPh>
    <rPh sb="21" eb="22">
      <t>オナ</t>
    </rPh>
    <rPh sb="26" eb="28">
      <t>シヨウ</t>
    </rPh>
    <phoneticPr fontId="4"/>
  </si>
  <si>
    <t>・VBA関数のソースコードは、エクセルメニューの［開発］タブの［コードの表示］から参照できます。</t>
    <rPh sb="4" eb="6">
      <t>カンスウ</t>
    </rPh>
    <rPh sb="25" eb="27">
      <t>カイハツ</t>
    </rPh>
    <rPh sb="36" eb="38">
      <t>ヒョウジ</t>
    </rPh>
    <rPh sb="41" eb="43">
      <t>サンショウ</t>
    </rPh>
    <phoneticPr fontId="4"/>
  </si>
  <si>
    <t>・Excelのメニューに「開発」タブが表示されていない場合は、WEBの情報から表示方法を確認し、表示できるようにしてください。</t>
    <rPh sb="13" eb="15">
      <t>カイハツ</t>
    </rPh>
    <rPh sb="19" eb="21">
      <t>ヒョウジ</t>
    </rPh>
    <rPh sb="27" eb="29">
      <t>バアイ</t>
    </rPh>
    <rPh sb="35" eb="37">
      <t>ジョウホウ</t>
    </rPh>
    <rPh sb="39" eb="41">
      <t>ヒョウジ</t>
    </rPh>
    <rPh sb="41" eb="43">
      <t>ホウホウ</t>
    </rPh>
    <rPh sb="44" eb="46">
      <t>カクニン</t>
    </rPh>
    <rPh sb="48" eb="50">
      <t>ヒョウジ</t>
    </rPh>
    <phoneticPr fontId="4"/>
  </si>
  <si>
    <t>分散関係式を解きます。</t>
    <rPh sb="0" eb="2">
      <t>ブンサン</t>
    </rPh>
    <rPh sb="2" eb="5">
      <t>カンケイシキ</t>
    </rPh>
    <rPh sb="6" eb="7">
      <t>ト</t>
    </rPh>
    <phoneticPr fontId="4"/>
  </si>
  <si>
    <t>項目（入力）</t>
    <rPh sb="0" eb="2">
      <t>コウモク</t>
    </rPh>
    <rPh sb="3" eb="5">
      <t>ニュウリョク</t>
    </rPh>
    <phoneticPr fontId="4"/>
  </si>
  <si>
    <t>項目（出力）</t>
    <rPh sb="0" eb="2">
      <t>コウモク</t>
    </rPh>
    <rPh sb="3" eb="4">
      <t>シュツ</t>
    </rPh>
    <phoneticPr fontId="4"/>
  </si>
  <si>
    <t>算定値</t>
    <rPh sb="0" eb="2">
      <t>サンテイ</t>
    </rPh>
    <rPh sb="2" eb="3">
      <t>チ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</si>
</sst>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0"/>
    <numFmt numFmtId="177" formatCode="0.000"/>
    <numFmt numFmtId="178" formatCode="0.0"/>
    <numFmt numFmtId="179" formatCode="0.000000"/>
    <numFmt numFmtId="180" formatCode="#,##0.0000;[Red]\-#,##0.0000"/>
  </numFmts>
  <fonts count="11">
    <font>
      <sz val="11"/>
      <color theme="1"/>
      <name val="Yu Gothic"/>
      <family val="2"/>
      <scheme val="minor"/>
    </font>
    <font>
      <sz val="11"/>
      <color rgb="FF3F3F76"/>
      <name val="Yu Gothic"/>
      <family val="2"/>
      <charset val="128"/>
      <scheme val="minor"/>
    </font>
    <font>
      <b/>
      <sz val="11"/>
      <color rgb="FF3F3F3F"/>
      <name val="Yu Gothic"/>
      <family val="2"/>
      <charset val="128"/>
      <scheme val="minor"/>
    </font>
    <font>
      <b/>
      <sz val="11"/>
      <color rgb="FFFA7D00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vertAlign val="subscript"/>
      <sz val="11"/>
      <color theme="1"/>
      <name val="Yu Gothic"/>
      <family val="3"/>
      <charset val="128"/>
      <scheme val="minor"/>
    </font>
    <font>
      <b/>
      <sz val="11"/>
      <color theme="5"/>
      <name val="Yu Gothic"/>
      <family val="2"/>
      <charset val="128"/>
      <scheme val="minor"/>
    </font>
    <font>
      <sz val="11"/>
      <color theme="1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vertAlign val="superscript"/>
      <sz val="11"/>
      <color theme="1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>
      <alignment vertical="center"/>
    </xf>
    <xf numFmtId="0" fontId="2" fillId="3" borderId="2" applyNumberFormat="0" applyAlignment="0" applyProtection="0">
      <alignment vertical="center"/>
    </xf>
    <xf numFmtId="0" fontId="3" fillId="3" borderId="1" applyNumberFormat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</cellStyleXfs>
  <cellXfs count="43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1" fillId="2" borderId="1" xfId="1" applyAlignment="1">
      <alignment vertical="center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1" fillId="2" borderId="5" xfId="1" applyBorder="1" applyAlignment="1">
      <alignment vertical="center"/>
    </xf>
    <xf numFmtId="178" fontId="2" fillId="3" borderId="2" xfId="2" applyNumberFormat="1" applyAlignment="1">
      <alignment vertical="center"/>
    </xf>
    <xf numFmtId="177" fontId="2" fillId="3" borderId="3" xfId="2" applyNumberFormat="1" applyBorder="1" applyAlignment="1"/>
    <xf numFmtId="176" fontId="3" fillId="3" borderId="3" xfId="3" applyNumberFormat="1" applyBorder="1" applyAlignment="1"/>
    <xf numFmtId="2" fontId="3" fillId="3" borderId="3" xfId="3" applyNumberFormat="1" applyBorder="1" applyAlignment="1"/>
    <xf numFmtId="177" fontId="3" fillId="3" borderId="3" xfId="3" applyNumberFormat="1" applyBorder="1" applyAlignment="1"/>
    <xf numFmtId="2" fontId="2" fillId="3" borderId="3" xfId="2" applyNumberFormat="1" applyBorder="1" applyAlignment="1"/>
    <xf numFmtId="0" fontId="3" fillId="3" borderId="3" xfId="3" applyBorder="1" applyAlignment="1"/>
    <xf numFmtId="0" fontId="2" fillId="3" borderId="3" xfId="2" applyBorder="1" applyAlignment="1"/>
    <xf numFmtId="177" fontId="2" fillId="3" borderId="2" xfId="2" applyNumberFormat="1" applyAlignment="1"/>
    <xf numFmtId="0" fontId="1" fillId="2" borderId="1" xfId="1" applyAlignment="1"/>
    <xf numFmtId="0" fontId="3" fillId="3" borderId="1" xfId="3" applyAlignment="1"/>
    <xf numFmtId="0" fontId="2" fillId="3" borderId="2" xfId="2" applyAlignment="1"/>
    <xf numFmtId="179" fontId="7" fillId="3" borderId="3" xfId="2" applyNumberFormat="1" applyFont="1" applyBorder="1" applyAlignment="1"/>
    <xf numFmtId="0" fontId="1" fillId="2" borderId="3" xfId="1" applyBorder="1" applyAlignment="1">
      <alignment vertical="center"/>
    </xf>
    <xf numFmtId="0" fontId="2" fillId="3" borderId="3" xfId="2" applyBorder="1" applyAlignment="1">
      <alignment vertical="center"/>
    </xf>
    <xf numFmtId="180" fontId="2" fillId="3" borderId="2" xfId="4" applyNumberFormat="1" applyFont="1" applyFill="1" applyBorder="1" applyAlignment="1">
      <alignment vertical="center"/>
    </xf>
    <xf numFmtId="176" fontId="3" fillId="3" borderId="1" xfId="3" applyNumberFormat="1" applyAlignment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9" fillId="0" borderId="3" xfId="0" applyFont="1" applyBorder="1" applyAlignment="1">
      <alignment vertical="center"/>
    </xf>
    <xf numFmtId="0" fontId="0" fillId="4" borderId="6" xfId="0" applyFill="1" applyBorder="1" applyAlignment="1">
      <alignment horizontal="centerContinuous" vertical="center"/>
    </xf>
    <xf numFmtId="0" fontId="0" fillId="4" borderId="7" xfId="0" applyFill="1" applyBorder="1" applyAlignment="1">
      <alignment horizontal="centerContinuous" vertical="center"/>
    </xf>
    <xf numFmtId="0" fontId="0" fillId="4" borderId="6" xfId="0" applyFill="1" applyBorder="1" applyAlignment="1">
      <alignment horizontal="centerContinuous"/>
    </xf>
    <xf numFmtId="0" fontId="0" fillId="4" borderId="7" xfId="0" applyFill="1" applyBorder="1" applyAlignment="1">
      <alignment horizontal="centerContinuous"/>
    </xf>
    <xf numFmtId="0" fontId="0" fillId="4" borderId="6" xfId="0" applyFill="1" applyBorder="1"/>
    <xf numFmtId="0" fontId="0" fillId="4" borderId="7" xfId="0" applyFill="1" applyBorder="1"/>
    <xf numFmtId="0" fontId="0" fillId="0" borderId="4" xfId="0" applyBorder="1" applyAlignment="1">
      <alignment horizontal="center"/>
    </xf>
    <xf numFmtId="0" fontId="9" fillId="0" borderId="0" xfId="0" applyFont="1"/>
    <xf numFmtId="0" fontId="0" fillId="0" borderId="0" xfId="0" applyAlignment="1">
      <alignment horizontal="left" vertical="center"/>
    </xf>
    <xf numFmtId="0" fontId="0" fillId="5" borderId="3" xfId="0" applyFill="1" applyBorder="1"/>
    <xf numFmtId="0" fontId="0" fillId="5" borderId="3" xfId="0" applyFill="1" applyBorder="1" applyAlignment="1">
      <alignment vertic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/>
    </xf>
  </cellXfs>
  <cellStyles count="5">
    <cellStyle name="計算" xfId="3" builtinId="22"/>
    <cellStyle name="桁区切り" xfId="4" builtinId="6"/>
    <cellStyle name="出力" xfId="2" builtinId="21"/>
    <cellStyle name="入力" xfId="1" builtinId="20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11045</xdr:colOff>
      <xdr:row>7</xdr:row>
      <xdr:rowOff>37622</xdr:rowOff>
    </xdr:from>
    <xdr:to>
      <xdr:col>27</xdr:col>
      <xdr:colOff>92690</xdr:colOff>
      <xdr:row>30</xdr:row>
      <xdr:rowOff>19515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6C17249F-C453-9D78-9609-997D4AB2D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4516" y="1707298"/>
          <a:ext cx="7600792" cy="5528805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8006</xdr:colOff>
      <xdr:row>7</xdr:row>
      <xdr:rowOff>5445</xdr:rowOff>
    </xdr:from>
    <xdr:to>
      <xdr:col>17</xdr:col>
      <xdr:colOff>665951</xdr:colOff>
      <xdr:row>44</xdr:row>
      <xdr:rowOff>25052</xdr:rowOff>
    </xdr:to>
    <xdr:grpSp>
      <xdr:nvGrpSpPr>
        <xdr:cNvPr id="6" name="グループ化 5">
          <a:extLst>
            <a:ext uri="{FF2B5EF4-FFF2-40B4-BE49-F238E27FC236}">
              <a16:creationId xmlns:a16="http://schemas.microsoft.com/office/drawing/2014/main" id="{B1967088-65C3-69E3-4A81-63D289CAAE74}"/>
            </a:ext>
          </a:extLst>
        </xdr:cNvPr>
        <xdr:cNvGrpSpPr/>
      </xdr:nvGrpSpPr>
      <xdr:grpSpPr>
        <a:xfrm>
          <a:off x="6092800" y="1697533"/>
          <a:ext cx="6809975" cy="8973107"/>
          <a:chOff x="7429501" y="1453404"/>
          <a:chExt cx="6813176" cy="8981913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30F3FEA6-74A8-FA8D-10F3-1A1D73ACCA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433423" y="1453404"/>
            <a:ext cx="6778438" cy="7433000"/>
          </a:xfrm>
          <a:prstGeom prst="rect">
            <a:avLst/>
          </a:prstGeom>
        </xdr:spPr>
      </xdr:pic>
      <xdr:pic>
        <xdr:nvPicPr>
          <xdr:cNvPr id="4" name="図 3">
            <a:extLst>
              <a:ext uri="{FF2B5EF4-FFF2-40B4-BE49-F238E27FC236}">
                <a16:creationId xmlns:a16="http://schemas.microsoft.com/office/drawing/2014/main" id="{8E1C6AC7-CEE6-48C1-27E5-12D9ABDE88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429501" y="8908677"/>
            <a:ext cx="6813176" cy="1526640"/>
          </a:xfrm>
          <a:prstGeom prst="rect">
            <a:avLst/>
          </a:prstGeom>
        </xdr:spPr>
      </xdr:pic>
      <xdr:sp macro="" textlink="">
        <xdr:nvSpPr>
          <xdr:cNvPr id="5" name="テキスト ボックス 4">
            <a:extLst>
              <a:ext uri="{FF2B5EF4-FFF2-40B4-BE49-F238E27FC236}">
                <a16:creationId xmlns:a16="http://schemas.microsoft.com/office/drawing/2014/main" id="{5E5BDF80-E9DC-6824-1F29-D58A1C74C091}"/>
              </a:ext>
            </a:extLst>
          </xdr:cNvPr>
          <xdr:cNvSpPr txBox="1"/>
        </xdr:nvSpPr>
        <xdr:spPr>
          <a:xfrm>
            <a:off x="10690413" y="4572000"/>
            <a:ext cx="369794" cy="17929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kumimoji="1" lang="en-US" altLang="ja-JP" sz="1100" kern="1200"/>
              <a:t>0.68</a:t>
            </a:r>
            <a:endParaRPr kumimoji="1" lang="ja-JP" altLang="en-US" sz="1100" kern="1200"/>
          </a:p>
        </xdr:txBody>
      </xdr:sp>
    </xdr:grpSp>
    <xdr:clientData/>
  </xdr:twoCellAnchor>
  <xdr:twoCellAnchor editAs="oneCell">
    <xdr:from>
      <xdr:col>8</xdr:col>
      <xdr:colOff>0</xdr:colOff>
      <xdr:row>44</xdr:row>
      <xdr:rowOff>47624</xdr:rowOff>
    </xdr:from>
    <xdr:to>
      <xdr:col>17</xdr:col>
      <xdr:colOff>672703</xdr:colOff>
      <xdr:row>51</xdr:row>
      <xdr:rowOff>192539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91956794-08DA-4EB5-BB91-3C492DA77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84094" y="10757296"/>
          <a:ext cx="6834187" cy="18117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39"/>
  <sheetViews>
    <sheetView tabSelected="1" zoomScale="70" zoomScaleNormal="70" workbookViewId="0">
      <selection activeCell="AJ9" sqref="AJ9"/>
    </sheetView>
  </sheetViews>
  <sheetFormatPr defaultRowHeight="18.75"/>
  <cols>
    <col min="2" max="2" width="15.375" customWidth="1"/>
    <col min="4" max="4" width="5.25" bestFit="1" customWidth="1"/>
    <col min="5" max="5" width="9.375" customWidth="1"/>
  </cols>
  <sheetData>
    <row r="2" spans="2:18">
      <c r="B2" t="s">
        <v>114</v>
      </c>
      <c r="Q2" s="37" t="s">
        <v>77</v>
      </c>
    </row>
    <row r="3" spans="2:18">
      <c r="B3" s="40" t="s">
        <v>42</v>
      </c>
      <c r="C3" s="41" t="s">
        <v>43</v>
      </c>
      <c r="D3" s="42" t="s">
        <v>29</v>
      </c>
      <c r="E3" s="42" t="s">
        <v>65</v>
      </c>
      <c r="Q3" s="19" t="s">
        <v>56</v>
      </c>
      <c r="R3" t="s">
        <v>59</v>
      </c>
    </row>
    <row r="4" spans="2:18" ht="20.25">
      <c r="B4" s="2" t="s">
        <v>0</v>
      </c>
      <c r="C4" s="5" t="s">
        <v>9</v>
      </c>
      <c r="D4" s="5" t="s">
        <v>1</v>
      </c>
      <c r="E4" s="23">
        <v>0.08</v>
      </c>
      <c r="G4" s="1"/>
      <c r="H4" s="1"/>
      <c r="I4" s="1"/>
      <c r="J4" s="1"/>
      <c r="K4" s="1"/>
      <c r="L4" s="1"/>
      <c r="M4" s="1"/>
      <c r="Q4" s="20" t="s">
        <v>57</v>
      </c>
      <c r="R4" t="s">
        <v>54</v>
      </c>
    </row>
    <row r="5" spans="2:18">
      <c r="B5" s="2" t="s">
        <v>2</v>
      </c>
      <c r="C5" s="5" t="s">
        <v>10</v>
      </c>
      <c r="D5" s="5" t="s">
        <v>3</v>
      </c>
      <c r="E5" s="23">
        <v>1.5</v>
      </c>
      <c r="G5" s="1"/>
      <c r="H5" s="1"/>
      <c r="I5" s="1"/>
      <c r="J5" s="1"/>
      <c r="K5" s="1"/>
      <c r="L5" s="1"/>
      <c r="M5" s="1"/>
      <c r="Q5" s="21" t="s">
        <v>58</v>
      </c>
      <c r="R5" t="s">
        <v>55</v>
      </c>
    </row>
    <row r="6" spans="2:18">
      <c r="B6" s="2" t="s">
        <v>4</v>
      </c>
      <c r="C6" s="5" t="s">
        <v>60</v>
      </c>
      <c r="D6" s="5" t="s">
        <v>5</v>
      </c>
      <c r="E6" s="23">
        <v>0.2</v>
      </c>
      <c r="G6" s="1"/>
      <c r="H6" s="1"/>
      <c r="I6" s="1"/>
      <c r="J6" s="1"/>
      <c r="K6" s="1"/>
      <c r="L6" s="1"/>
      <c r="M6" s="1"/>
    </row>
    <row r="7" spans="2:18">
      <c r="B7" s="2" t="s">
        <v>11</v>
      </c>
      <c r="C7" s="5" t="s">
        <v>6</v>
      </c>
      <c r="D7" s="27" t="s">
        <v>63</v>
      </c>
      <c r="E7" s="23">
        <v>4</v>
      </c>
      <c r="F7" s="1" t="s">
        <v>78</v>
      </c>
      <c r="H7" s="1"/>
      <c r="I7" s="1"/>
      <c r="J7" s="1"/>
      <c r="K7" s="1"/>
      <c r="L7" s="1"/>
      <c r="M7" s="1"/>
      <c r="Q7" t="s">
        <v>115</v>
      </c>
    </row>
    <row r="8" spans="2:18" ht="20.25">
      <c r="B8" s="29" t="s">
        <v>7</v>
      </c>
      <c r="C8" s="5" t="s">
        <v>67</v>
      </c>
      <c r="D8" s="5" t="s">
        <v>8</v>
      </c>
      <c r="E8" s="24" cm="1">
        <f t="array" ref="E8">idogenkai_hcr(E4,E5,E6,E7)</f>
        <v>5.3685170613246833E-2</v>
      </c>
      <c r="F8" t="s">
        <v>66</v>
      </c>
      <c r="G8" s="1"/>
      <c r="H8" s="1"/>
      <c r="I8" s="1"/>
      <c r="J8" s="1"/>
      <c r="K8" s="1"/>
      <c r="L8" s="1"/>
      <c r="M8" s="1"/>
    </row>
    <row r="9" spans="2:18" ht="20.25">
      <c r="B9" s="29" t="s">
        <v>24</v>
      </c>
      <c r="C9" s="5" t="s">
        <v>62</v>
      </c>
      <c r="D9" s="5" t="s">
        <v>63</v>
      </c>
      <c r="E9" s="25" cm="1">
        <f t="array" ref="E9">Ks_calc(E8,E5)</f>
        <v>1.3009871821963008</v>
      </c>
      <c r="F9" s="1"/>
      <c r="G9" s="1"/>
      <c r="H9" s="1"/>
      <c r="I9" s="1"/>
      <c r="J9" s="1"/>
      <c r="K9" s="1"/>
      <c r="L9" s="1"/>
      <c r="M9" s="1"/>
    </row>
    <row r="10" spans="2:18">
      <c r="B10" s="29" t="s">
        <v>26</v>
      </c>
      <c r="C10" s="5" t="s">
        <v>27</v>
      </c>
      <c r="D10" s="5" t="s">
        <v>64</v>
      </c>
      <c r="E10" s="26">
        <f>E9*E4</f>
        <v>0.10407897457570407</v>
      </c>
      <c r="F10" s="1"/>
      <c r="G10" s="1"/>
      <c r="H10" s="1"/>
      <c r="I10" s="1"/>
      <c r="J10" s="1"/>
      <c r="K10" s="1"/>
      <c r="L10" s="1"/>
      <c r="M10" s="1"/>
    </row>
    <row r="11" spans="2:18">
      <c r="D11" s="28"/>
      <c r="F11" s="1"/>
      <c r="G11" s="1"/>
      <c r="H11" s="1"/>
      <c r="I11" s="1"/>
      <c r="J11" s="1"/>
      <c r="K11" s="1"/>
      <c r="L11" s="1"/>
      <c r="M11" s="1"/>
    </row>
    <row r="12" spans="2:18">
      <c r="D12" s="28"/>
    </row>
    <row r="13" spans="2:18">
      <c r="D13" s="28"/>
    </row>
    <row r="14" spans="2:18">
      <c r="B14" t="s">
        <v>61</v>
      </c>
      <c r="C14" t="s">
        <v>110</v>
      </c>
      <c r="D14" s="28"/>
    </row>
    <row r="15" spans="2:18">
      <c r="B15" s="40" t="s">
        <v>42</v>
      </c>
      <c r="C15" s="41" t="s">
        <v>43</v>
      </c>
      <c r="D15" s="42" t="s">
        <v>29</v>
      </c>
      <c r="E15" s="39" t="s">
        <v>45</v>
      </c>
      <c r="F15" s="40" t="s">
        <v>46</v>
      </c>
      <c r="G15" s="39" t="s">
        <v>47</v>
      </c>
      <c r="H15" s="39" t="s">
        <v>48</v>
      </c>
    </row>
    <row r="16" spans="2:18" ht="20.25">
      <c r="B16" s="2" t="s">
        <v>0</v>
      </c>
      <c r="C16" s="5" t="s">
        <v>9</v>
      </c>
      <c r="D16" s="5" t="s">
        <v>1</v>
      </c>
      <c r="E16" s="9">
        <v>5</v>
      </c>
      <c r="F16" s="9">
        <v>5</v>
      </c>
      <c r="G16" s="9">
        <v>5</v>
      </c>
      <c r="H16" s="9">
        <v>5</v>
      </c>
    </row>
    <row r="17" spans="2:17">
      <c r="B17" s="2" t="s">
        <v>2</v>
      </c>
      <c r="C17" s="5" t="s">
        <v>10</v>
      </c>
      <c r="D17" s="5" t="s">
        <v>3</v>
      </c>
      <c r="E17" s="3">
        <v>10</v>
      </c>
      <c r="F17" s="3">
        <v>10</v>
      </c>
      <c r="G17" s="3">
        <v>10</v>
      </c>
      <c r="H17" s="3">
        <v>10</v>
      </c>
    </row>
    <row r="18" spans="2:17">
      <c r="B18" s="2" t="s">
        <v>4</v>
      </c>
      <c r="C18" s="5" t="s">
        <v>60</v>
      </c>
      <c r="D18" s="5" t="s">
        <v>5</v>
      </c>
      <c r="E18" s="3">
        <v>0.2</v>
      </c>
      <c r="F18" s="3">
        <v>0.2</v>
      </c>
      <c r="G18" s="3">
        <v>0.2</v>
      </c>
      <c r="H18" s="3">
        <v>0.2</v>
      </c>
    </row>
    <row r="19" spans="2:17">
      <c r="B19" s="2" t="s">
        <v>11</v>
      </c>
      <c r="C19" s="5" t="s">
        <v>6</v>
      </c>
      <c r="D19" s="27" t="s">
        <v>63</v>
      </c>
      <c r="E19" s="3">
        <v>1</v>
      </c>
      <c r="F19" s="3">
        <v>2</v>
      </c>
      <c r="G19" s="3">
        <v>3</v>
      </c>
      <c r="H19" s="3">
        <v>4</v>
      </c>
    </row>
    <row r="20" spans="2:17" ht="20.25">
      <c r="B20" s="29" t="s">
        <v>7</v>
      </c>
      <c r="C20" s="5" t="s">
        <v>67</v>
      </c>
      <c r="D20" s="5" t="s">
        <v>8</v>
      </c>
      <c r="E20" s="10" cm="1">
        <f t="array" ref="E20">idogenkai_hcr(E16,E17,E18,E19)</f>
        <v>58.321448933357146</v>
      </c>
      <c r="F20" s="10" cm="1">
        <f t="array" ref="F20">idogenkai_hcr(F16,F17,F18,F19)</f>
        <v>56.437418842182346</v>
      </c>
      <c r="G20" s="10" cm="1">
        <f t="array" ref="G20">idogenkai_hcr(G16,G17,G18,G19)</f>
        <v>32.067703312994297</v>
      </c>
      <c r="H20" s="10" cm="1">
        <f t="array" ref="H20">idogenkai_hcr(H16,H17,H18,H19)</f>
        <v>18.038729126939351</v>
      </c>
    </row>
    <row r="21" spans="2:17" ht="20.25">
      <c r="B21" s="29" t="s">
        <v>24</v>
      </c>
      <c r="C21" s="5" t="s">
        <v>62</v>
      </c>
      <c r="D21" s="5" t="s">
        <v>63</v>
      </c>
      <c r="E21" s="25" cm="1">
        <f t="array" ref="E21">Ks_calc(E20,E17)</f>
        <v>0.97021210440513406</v>
      </c>
      <c r="F21" s="25" cm="1">
        <f t="array" ref="F21">Ks_calc(F20,F17)</f>
        <v>0.96719970015894052</v>
      </c>
      <c r="G21" s="25" cm="1">
        <f t="array" ref="G21">Ks_calc(G20,G17)</f>
        <v>0.91936932359505064</v>
      </c>
      <c r="H21" s="25" cm="1">
        <f t="array" ref="H21">Ks_calc(H20,H17)</f>
        <v>0.92251117184218356</v>
      </c>
    </row>
    <row r="22" spans="2:17">
      <c r="B22" s="29" t="s">
        <v>26</v>
      </c>
      <c r="C22" s="5" t="s">
        <v>27</v>
      </c>
      <c r="D22" s="5" t="s">
        <v>64</v>
      </c>
      <c r="E22" s="26">
        <f>E21*E16</f>
        <v>4.8510605220256702</v>
      </c>
      <c r="F22" s="26">
        <f t="shared" ref="F22:H22" si="0">F21*F16</f>
        <v>4.8359985007947026</v>
      </c>
      <c r="G22" s="26">
        <f t="shared" si="0"/>
        <v>4.5968466179752534</v>
      </c>
      <c r="H22" s="26">
        <f t="shared" si="0"/>
        <v>4.6125558592109179</v>
      </c>
    </row>
    <row r="23" spans="2:17">
      <c r="D23" s="28"/>
    </row>
    <row r="25" spans="2:17">
      <c r="B25" s="1" t="s">
        <v>61</v>
      </c>
      <c r="C25" s="38" t="s">
        <v>111</v>
      </c>
      <c r="D25" s="28"/>
    </row>
    <row r="26" spans="2:17">
      <c r="B26" s="40" t="s">
        <v>42</v>
      </c>
      <c r="C26" s="41" t="s">
        <v>43</v>
      </c>
      <c r="D26" s="42" t="s">
        <v>29</v>
      </c>
      <c r="E26" s="39" t="s">
        <v>45</v>
      </c>
      <c r="F26" s="40" t="s">
        <v>46</v>
      </c>
      <c r="G26" s="39" t="s">
        <v>47</v>
      </c>
      <c r="H26" s="39" t="s">
        <v>48</v>
      </c>
    </row>
    <row r="27" spans="2:17" ht="20.25">
      <c r="B27" s="2" t="s">
        <v>0</v>
      </c>
      <c r="C27" s="5" t="s">
        <v>9</v>
      </c>
      <c r="D27" s="5" t="s">
        <v>1</v>
      </c>
      <c r="E27" s="3">
        <v>5</v>
      </c>
      <c r="F27" s="3">
        <v>5</v>
      </c>
      <c r="G27" s="3">
        <v>5</v>
      </c>
      <c r="H27" s="3">
        <v>5</v>
      </c>
    </row>
    <row r="28" spans="2:17">
      <c r="B28" s="2" t="s">
        <v>2</v>
      </c>
      <c r="C28" s="5" t="s">
        <v>10</v>
      </c>
      <c r="D28" s="5" t="s">
        <v>3</v>
      </c>
      <c r="E28" s="3">
        <v>10</v>
      </c>
      <c r="F28" s="3">
        <v>10</v>
      </c>
      <c r="G28" s="3">
        <v>10</v>
      </c>
      <c r="H28" s="3">
        <v>10</v>
      </c>
    </row>
    <row r="29" spans="2:17">
      <c r="B29" s="2" t="s">
        <v>4</v>
      </c>
      <c r="C29" s="5" t="s">
        <v>60</v>
      </c>
      <c r="D29" s="5" t="s">
        <v>5</v>
      </c>
      <c r="E29" s="3">
        <v>1</v>
      </c>
      <c r="F29" s="3">
        <v>1</v>
      </c>
      <c r="G29" s="3">
        <v>1</v>
      </c>
      <c r="H29" s="3">
        <v>1</v>
      </c>
    </row>
    <row r="30" spans="2:17">
      <c r="B30" s="2" t="s">
        <v>11</v>
      </c>
      <c r="C30" s="5" t="s">
        <v>6</v>
      </c>
      <c r="D30" s="27" t="s">
        <v>63</v>
      </c>
      <c r="E30" s="3">
        <v>1</v>
      </c>
      <c r="F30" s="3">
        <v>2</v>
      </c>
      <c r="G30" s="3">
        <v>3</v>
      </c>
      <c r="H30" s="3">
        <v>4</v>
      </c>
    </row>
    <row r="31" spans="2:17" ht="20.25">
      <c r="B31" s="29" t="s">
        <v>7</v>
      </c>
      <c r="C31" s="5" t="s">
        <v>67</v>
      </c>
      <c r="D31" s="5" t="s">
        <v>8</v>
      </c>
      <c r="E31" s="10" cm="1">
        <f t="array" ref="E31">idogenkai_hcr(E27,E28,E29,E30)</f>
        <v>47.21898981456436</v>
      </c>
      <c r="F31" s="10" cm="1">
        <f t="array" ref="F31">idogenkai_hcr(F27,F28,F29,F30)</f>
        <v>41.47991130930258</v>
      </c>
      <c r="G31" s="10" cm="1">
        <f t="array" ref="G31">idogenkai_hcr(G27,G28,G29,G30)</f>
        <v>18.842064350282946</v>
      </c>
      <c r="H31" s="10" cm="1">
        <f t="array" ref="H31">idogenkai_hcr(H27,H28,H29,H30)</f>
        <v>9.5010988828010081</v>
      </c>
    </row>
    <row r="32" spans="2:17" ht="20.25">
      <c r="B32" s="29" t="s">
        <v>24</v>
      </c>
      <c r="C32" s="5" t="s">
        <v>62</v>
      </c>
      <c r="D32" s="5" t="s">
        <v>63</v>
      </c>
      <c r="E32" s="25" cm="1">
        <f t="array" ref="E32">Ks_calc(E31,E28)</f>
        <v>0.94983359881456486</v>
      </c>
      <c r="F32" s="25" cm="1">
        <f t="array" ref="F32">Ks_calc(F31,F28)</f>
        <v>0.9376139075458072</v>
      </c>
      <c r="G32" s="25" cm="1">
        <f t="array" ref="G32">Ks_calc(G31,G28)</f>
        <v>0.92013346804334695</v>
      </c>
      <c r="H32" s="25" cm="1">
        <f t="array" ref="H32">Ks_calc(H31,H28)</f>
        <v>0.99091691581611174</v>
      </c>
      <c r="Q32" t="s">
        <v>113</v>
      </c>
    </row>
    <row r="33" spans="2:24">
      <c r="B33" s="29" t="s">
        <v>26</v>
      </c>
      <c r="C33" s="5" t="s">
        <v>27</v>
      </c>
      <c r="D33" s="5" t="s">
        <v>64</v>
      </c>
      <c r="E33" s="26">
        <f>E32*E27</f>
        <v>4.749167994072824</v>
      </c>
      <c r="F33" s="26">
        <f t="shared" ref="F33" si="1">F32*F27</f>
        <v>4.688069537729036</v>
      </c>
      <c r="G33" s="26">
        <f t="shared" ref="G33" si="2">G32*G27</f>
        <v>4.6006673402167344</v>
      </c>
      <c r="H33" s="26">
        <f t="shared" ref="H33" si="3">H32*H27</f>
        <v>4.9545845790805583</v>
      </c>
      <c r="R33" s="30" t="s">
        <v>74</v>
      </c>
      <c r="S33" s="31"/>
      <c r="T33" s="32" t="s">
        <v>71</v>
      </c>
      <c r="U33" s="33"/>
      <c r="V33" s="32" t="s">
        <v>70</v>
      </c>
      <c r="W33" s="32"/>
    </row>
    <row r="34" spans="2:24">
      <c r="R34" s="32" t="s">
        <v>75</v>
      </c>
      <c r="S34" s="33"/>
      <c r="T34" s="34" t="s">
        <v>68</v>
      </c>
      <c r="U34" s="35"/>
      <c r="V34" s="34" t="s">
        <v>72</v>
      </c>
      <c r="W34" s="34"/>
      <c r="X34" t="s">
        <v>66</v>
      </c>
    </row>
    <row r="35" spans="2:24">
      <c r="R35" s="32" t="s">
        <v>76</v>
      </c>
      <c r="S35" s="33"/>
      <c r="T35" s="34" t="s">
        <v>69</v>
      </c>
      <c r="U35" s="35"/>
      <c r="V35" s="34" t="s">
        <v>73</v>
      </c>
      <c r="W35" s="34"/>
    </row>
    <row r="37" spans="2:24">
      <c r="Q37" t="s">
        <v>116</v>
      </c>
    </row>
    <row r="38" spans="2:24">
      <c r="Q38" t="s">
        <v>117</v>
      </c>
    </row>
    <row r="39" spans="2:24">
      <c r="Q39" t="s">
        <v>118</v>
      </c>
    </row>
  </sheetData>
  <phoneticPr fontId="4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8E0C1-D2FC-47F0-B923-40AAB6B051A4}">
  <sheetPr codeName="Sheet3"/>
  <dimension ref="B2:P65"/>
  <sheetViews>
    <sheetView zoomScale="85" zoomScaleNormal="85" workbookViewId="0">
      <selection activeCell="Y9" sqref="Y9"/>
    </sheetView>
  </sheetViews>
  <sheetFormatPr defaultRowHeight="18.75"/>
  <cols>
    <col min="2" max="2" width="19.25" bestFit="1" customWidth="1"/>
    <col min="3" max="3" width="5.625" customWidth="1"/>
    <col min="4" max="4" width="7.375" bestFit="1" customWidth="1"/>
    <col min="5" max="5" width="11.75" customWidth="1"/>
  </cols>
  <sheetData>
    <row r="2" spans="2:10">
      <c r="B2" t="s">
        <v>112</v>
      </c>
      <c r="I2" s="37" t="s">
        <v>77</v>
      </c>
    </row>
    <row r="3" spans="2:10">
      <c r="B3" s="39" t="s">
        <v>120</v>
      </c>
      <c r="C3" s="39" t="s">
        <v>43</v>
      </c>
      <c r="D3" s="39" t="s">
        <v>29</v>
      </c>
      <c r="E3" s="39" t="s">
        <v>44</v>
      </c>
      <c r="I3" s="19" t="s">
        <v>56</v>
      </c>
      <c r="J3" t="s">
        <v>59</v>
      </c>
    </row>
    <row r="4" spans="2:10" ht="20.25">
      <c r="B4" s="7" t="s">
        <v>0</v>
      </c>
      <c r="C4" s="8" t="s">
        <v>9</v>
      </c>
      <c r="D4" s="36" t="s">
        <v>14</v>
      </c>
      <c r="E4" s="9">
        <v>5</v>
      </c>
      <c r="I4" s="20" t="s">
        <v>57</v>
      </c>
      <c r="J4" t="s">
        <v>54</v>
      </c>
    </row>
    <row r="5" spans="2:10">
      <c r="B5" s="2" t="s">
        <v>2</v>
      </c>
      <c r="C5" s="5" t="s">
        <v>10</v>
      </c>
      <c r="D5" s="27" t="s">
        <v>13</v>
      </c>
      <c r="E5" s="3">
        <v>10</v>
      </c>
      <c r="I5" s="21" t="s">
        <v>58</v>
      </c>
      <c r="J5" t="s">
        <v>55</v>
      </c>
    </row>
    <row r="6" spans="2:10">
      <c r="B6" s="2" t="s">
        <v>15</v>
      </c>
      <c r="C6" s="5" t="s">
        <v>16</v>
      </c>
      <c r="D6" s="27" t="s">
        <v>14</v>
      </c>
      <c r="E6" s="3">
        <v>10</v>
      </c>
    </row>
    <row r="7" spans="2:10" ht="20.25">
      <c r="B7" s="2" t="s">
        <v>4</v>
      </c>
      <c r="C7" s="5" t="s">
        <v>82</v>
      </c>
      <c r="D7" s="27" t="s">
        <v>12</v>
      </c>
      <c r="E7" s="3">
        <v>0.5</v>
      </c>
      <c r="I7" t="s">
        <v>115</v>
      </c>
    </row>
    <row r="8" spans="2:10" ht="20.25">
      <c r="B8" s="2" t="s">
        <v>35</v>
      </c>
      <c r="C8" s="5" t="s">
        <v>37</v>
      </c>
      <c r="D8" s="27" t="s">
        <v>81</v>
      </c>
      <c r="E8" s="3">
        <v>2650</v>
      </c>
    </row>
    <row r="9" spans="2:10" ht="20.25">
      <c r="B9" s="2" t="s">
        <v>36</v>
      </c>
      <c r="C9" s="5" t="s">
        <v>91</v>
      </c>
      <c r="D9" s="27" t="s">
        <v>81</v>
      </c>
      <c r="E9" s="3">
        <v>1025</v>
      </c>
    </row>
    <row r="10" spans="2:10" ht="20.25">
      <c r="B10" s="2" t="s">
        <v>39</v>
      </c>
      <c r="C10" s="5" t="s">
        <v>90</v>
      </c>
      <c r="D10" s="27" t="s">
        <v>63</v>
      </c>
      <c r="E10" s="3">
        <v>0.2</v>
      </c>
    </row>
    <row r="11" spans="2:10">
      <c r="C11" s="6"/>
      <c r="D11" s="28"/>
    </row>
    <row r="12" spans="2:10">
      <c r="B12" s="39" t="s">
        <v>121</v>
      </c>
      <c r="C12" s="39" t="s">
        <v>43</v>
      </c>
      <c r="D12" s="39" t="s">
        <v>29</v>
      </c>
      <c r="E12" s="39" t="s">
        <v>122</v>
      </c>
    </row>
    <row r="13" spans="2:10">
      <c r="B13" s="2" t="s">
        <v>21</v>
      </c>
      <c r="C13" s="5" t="s">
        <v>17</v>
      </c>
      <c r="D13" s="27" t="s">
        <v>63</v>
      </c>
      <c r="E13" s="11" cm="1">
        <f t="array" ref="E13">kh_calc(E6,E5)</f>
        <v>0.68058792406173874</v>
      </c>
    </row>
    <row r="14" spans="2:10">
      <c r="B14" s="2" t="s">
        <v>22</v>
      </c>
      <c r="C14" s="5" t="s">
        <v>18</v>
      </c>
      <c r="D14" s="27" t="s">
        <v>23</v>
      </c>
      <c r="E14" s="12">
        <f>E13/E6</f>
        <v>6.8058792406173879E-2</v>
      </c>
    </row>
    <row r="15" spans="2:10">
      <c r="B15" s="4" t="s">
        <v>20</v>
      </c>
      <c r="C15" s="5" t="s">
        <v>19</v>
      </c>
      <c r="D15" s="27" t="s">
        <v>14</v>
      </c>
      <c r="E15" s="13">
        <f>2*PI()/E14</f>
        <v>92.319964622375721</v>
      </c>
    </row>
    <row r="16" spans="2:10">
      <c r="B16" s="4" t="s">
        <v>49</v>
      </c>
      <c r="C16" s="5" t="s">
        <v>50</v>
      </c>
      <c r="D16" s="27" t="s">
        <v>63</v>
      </c>
      <c r="E16" s="14">
        <f>E6/E15</f>
        <v>0.10831893232307722</v>
      </c>
    </row>
    <row r="17" spans="2:6">
      <c r="B17" s="2" t="s">
        <v>24</v>
      </c>
      <c r="C17" s="5" t="s">
        <v>25</v>
      </c>
      <c r="D17" s="27" t="s">
        <v>63</v>
      </c>
      <c r="E17" s="11" cm="1">
        <f t="array" ref="E17">Ks_calc(E6,E5)</f>
        <v>0.98339911808951119</v>
      </c>
    </row>
    <row r="18" spans="2:6">
      <c r="B18" s="2" t="s">
        <v>26</v>
      </c>
      <c r="C18" s="5" t="s">
        <v>27</v>
      </c>
      <c r="D18" s="27" t="s">
        <v>14</v>
      </c>
      <c r="E18" s="13">
        <f>E17*E4</f>
        <v>4.9169955904475557</v>
      </c>
    </row>
    <row r="19" spans="2:6" ht="20.25">
      <c r="B19" s="2" t="s">
        <v>30</v>
      </c>
      <c r="C19" s="5" t="s">
        <v>85</v>
      </c>
      <c r="D19" s="27" t="s">
        <v>28</v>
      </c>
      <c r="E19" s="15" cm="1">
        <f t="array" ref="E19">ub_calc(E18,E5,E6)</f>
        <v>2.1034920485307684</v>
      </c>
    </row>
    <row r="20" spans="2:6" ht="20.25">
      <c r="B20" s="2" t="s">
        <v>41</v>
      </c>
      <c r="C20" s="5" t="s">
        <v>86</v>
      </c>
      <c r="D20" s="27" t="s">
        <v>14</v>
      </c>
      <c r="E20" s="16">
        <f>2.5*E7*0.001</f>
        <v>1.25E-3</v>
      </c>
    </row>
    <row r="21" spans="2:6" ht="20.25">
      <c r="B21" s="2" t="s">
        <v>31</v>
      </c>
      <c r="C21" s="5" t="s">
        <v>87</v>
      </c>
      <c r="D21" s="27" t="s">
        <v>63</v>
      </c>
      <c r="E21" s="17" cm="1">
        <f t="array" ref="E21">fw_calc_Swart(E19,E5,E20)</f>
        <v>7.8316437427554605E-3</v>
      </c>
      <c r="F21" t="s">
        <v>93</v>
      </c>
    </row>
    <row r="22" spans="2:6" ht="20.25">
      <c r="B22" s="2" t="s">
        <v>32</v>
      </c>
      <c r="C22" s="5" t="s">
        <v>33</v>
      </c>
      <c r="D22" s="27" t="s">
        <v>80</v>
      </c>
      <c r="E22" s="13">
        <f>0.5*E9*E21*E19^2</f>
        <v>17.759410362237325</v>
      </c>
    </row>
    <row r="23" spans="2:6" ht="20.25">
      <c r="B23" s="2" t="s">
        <v>34</v>
      </c>
      <c r="C23" s="5" t="s">
        <v>88</v>
      </c>
      <c r="D23" s="27" t="s">
        <v>63</v>
      </c>
      <c r="E23" s="11" cm="1">
        <f t="array" ref="E23">Shield_cr_Soulsby(E7,E8,E9)</f>
        <v>3.0926643824780786E-2</v>
      </c>
      <c r="F23" t="s">
        <v>94</v>
      </c>
    </row>
    <row r="24" spans="2:6" ht="20.25">
      <c r="B24" s="2" t="s">
        <v>38</v>
      </c>
      <c r="C24" s="5" t="s">
        <v>89</v>
      </c>
      <c r="D24" s="27" t="s">
        <v>80</v>
      </c>
      <c r="E24" s="14">
        <f>E23*(E8-E9)*9.8*E7*0.001</f>
        <v>0.24625340145481703</v>
      </c>
    </row>
    <row r="25" spans="2:6">
      <c r="B25" s="2" t="s">
        <v>51</v>
      </c>
      <c r="C25" s="5" t="s">
        <v>52</v>
      </c>
      <c r="D25" s="27" t="s">
        <v>63</v>
      </c>
      <c r="E25" s="14">
        <f>E22/((E8-E9)*9.8*E7*0.001)</f>
        <v>2.2303812071883606</v>
      </c>
    </row>
    <row r="26" spans="2:6" ht="20.25">
      <c r="B26" s="2" t="s">
        <v>53</v>
      </c>
      <c r="C26" s="5" t="s">
        <v>83</v>
      </c>
      <c r="D26" s="27" t="s">
        <v>63</v>
      </c>
      <c r="E26" s="18" cm="1">
        <f t="array" ref="E26">FD_Simizu(E25)</f>
        <v>1</v>
      </c>
      <c r="F26" t="s">
        <v>95</v>
      </c>
    </row>
    <row r="27" spans="2:6" ht="20.25">
      <c r="B27" s="2" t="s">
        <v>40</v>
      </c>
      <c r="C27" s="5" t="s">
        <v>84</v>
      </c>
      <c r="D27" s="27" t="s">
        <v>79</v>
      </c>
      <c r="E27" s="22">
        <f>E10*E26*(E22-E24)/(E9*9.8)*E19</f>
        <v>7.3347509032707398E-4</v>
      </c>
      <c r="F27" t="s">
        <v>92</v>
      </c>
    </row>
    <row r="54" spans="9:16">
      <c r="I54" t="s">
        <v>96</v>
      </c>
    </row>
    <row r="55" spans="9:16">
      <c r="J55" s="30" t="s">
        <v>74</v>
      </c>
      <c r="K55" s="31"/>
      <c r="L55" s="32" t="s">
        <v>71</v>
      </c>
      <c r="M55" s="33"/>
      <c r="N55" s="32" t="s">
        <v>70</v>
      </c>
      <c r="O55" s="32"/>
    </row>
    <row r="56" spans="9:16">
      <c r="J56" s="32" t="s">
        <v>21</v>
      </c>
      <c r="K56" s="33"/>
      <c r="L56" s="34" t="s">
        <v>97</v>
      </c>
      <c r="M56" s="35"/>
      <c r="N56" s="34" t="s">
        <v>105</v>
      </c>
      <c r="O56" s="34"/>
      <c r="P56" t="s">
        <v>119</v>
      </c>
    </row>
    <row r="57" spans="9:16">
      <c r="J57" s="32" t="s">
        <v>76</v>
      </c>
      <c r="K57" s="33"/>
      <c r="L57" s="34" t="s">
        <v>69</v>
      </c>
      <c r="M57" s="35"/>
      <c r="N57" s="34" t="s">
        <v>105</v>
      </c>
      <c r="O57" s="34"/>
    </row>
    <row r="58" spans="9:16">
      <c r="J58" s="32" t="s">
        <v>98</v>
      </c>
      <c r="K58" s="33"/>
      <c r="L58" s="34" t="s">
        <v>99</v>
      </c>
      <c r="M58" s="35"/>
      <c r="N58" s="34" t="s">
        <v>106</v>
      </c>
      <c r="O58" s="34"/>
    </row>
    <row r="59" spans="9:16">
      <c r="J59" s="32" t="s">
        <v>100</v>
      </c>
      <c r="K59" s="33"/>
      <c r="L59" s="34" t="s">
        <v>101</v>
      </c>
      <c r="M59" s="35"/>
      <c r="N59" s="34" t="s">
        <v>107</v>
      </c>
      <c r="O59" s="34"/>
      <c r="P59" t="s">
        <v>93</v>
      </c>
    </row>
    <row r="60" spans="9:16">
      <c r="J60" s="32" t="s">
        <v>34</v>
      </c>
      <c r="K60" s="33"/>
      <c r="L60" s="34" t="s">
        <v>102</v>
      </c>
      <c r="M60" s="35"/>
      <c r="N60" s="34" t="s">
        <v>108</v>
      </c>
      <c r="O60" s="34"/>
      <c r="P60" t="s">
        <v>94</v>
      </c>
    </row>
    <row r="61" spans="9:16">
      <c r="J61" s="32" t="s">
        <v>103</v>
      </c>
      <c r="K61" s="33"/>
      <c r="L61" s="34" t="s">
        <v>104</v>
      </c>
      <c r="M61" s="35"/>
      <c r="N61" s="34" t="s">
        <v>109</v>
      </c>
      <c r="O61" s="34"/>
      <c r="P61" t="s">
        <v>95</v>
      </c>
    </row>
    <row r="63" spans="9:16">
      <c r="I63" t="s">
        <v>116</v>
      </c>
    </row>
    <row r="64" spans="9:16">
      <c r="I64" t="s">
        <v>117</v>
      </c>
    </row>
    <row r="65" spans="9:9">
      <c r="I65" t="s">
        <v>118</v>
      </c>
    </row>
  </sheetData>
  <phoneticPr fontId="4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(1)移動限界水深</vt:lpstr>
      <vt:lpstr>(2)漂砂量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2024-12-24T12:25:19Z</dcterms:modified>
</cp:coreProperties>
</file>